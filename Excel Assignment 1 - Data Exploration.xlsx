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AE6035745C5AC9D6C759A76D5D31450AFDAE85B8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Instructions" sheetId="1" r:id="rId1"/>
    <sheet name="Datase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D42" i="2"/>
  <c r="D40" i="2"/>
  <c r="D36" i="2"/>
  <c r="E36" i="2"/>
  <c r="D4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D46" i="2"/>
  <c r="D38" i="2"/>
</calcChain>
</file>

<file path=xl/sharedStrings.xml><?xml version="1.0" encoding="utf-8"?>
<sst xmlns="http://schemas.openxmlformats.org/spreadsheetml/2006/main" count="169" uniqueCount="122">
  <si>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</si>
  <si>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</si>
  <si>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</si>
  <si>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</si>
  <si>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</si>
  <si>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</si>
  <si>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</si>
  <si>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</si>
  <si>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</si>
  <si>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</si>
  <si>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</si>
  <si>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</si>
  <si>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</si>
  <si>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</si>
  <si>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</si>
  <si>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</si>
  <si>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</si>
  <si>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</si>
  <si>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</si>
  <si>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</si>
  <si>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</si>
  <si>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</si>
  <si>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</si>
  <si>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</si>
  <si>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</si>
  <si>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</si>
  <si>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</si>
  <si>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</si>
  <si>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</si>
  <si>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</si>
  <si>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</si>
  <si>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</si>
  <si>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</si>
  <si>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</si>
  <si>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</si>
  <si>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</si>
  <si>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</si>
  <si>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</si>
  <si>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</si>
  <si>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</si>
  <si>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</si>
  <si>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</si>
  <si>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</si>
  <si>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</si>
  <si>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</si>
  <si>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</si>
  <si>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</si>
  <si>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</si>
  <si>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</si>
  <si>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</si>
  <si>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</si>
  <si>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</si>
  <si>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</si>
  <si>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</si>
  <si>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</si>
  <si>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</si>
  <si>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</si>
  <si>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</si>
  <si>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</si>
  <si>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</si>
  <si>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</si>
  <si>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</si>
  <si>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</si>
  <si>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</si>
  <si>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</si>
  <si>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</si>
  <si>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</si>
  <si>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</si>
  <si>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</si>
  <si>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</si>
  <si>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</si>
  <si>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</si>
  <si>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</si>
  <si>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</si>
  <si>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</si>
  <si>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</si>
  <si>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</si>
  <si>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</si>
  <si>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</si>
  <si>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</si>
  <si>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</si>
  <si>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</si>
  <si>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</si>
  <si>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</si>
  <si>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</si>
  <si>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</si>
  <si>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</si>
  <si>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</si>
  <si>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</si>
  <si>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</si>
  <si>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</si>
  <si>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</si>
  <si>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</si>
  <si>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</si>
  <si>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</si>
  <si>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</si>
  <si>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</si>
  <si>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</si>
  <si>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</si>
  <si>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</si>
  <si>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</si>
  <si>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</si>
  <si>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</si>
  <si>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</si>
  <si>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</si>
  <si>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</si>
  <si>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</si>
  <si>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</si>
  <si>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</si>
  <si>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</si>
  <si>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</si>
  <si>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 xml:space="preserve">average </t>
  </si>
  <si>
    <t>minimum</t>
  </si>
  <si>
    <t xml:space="preserve">maximum </t>
  </si>
  <si>
    <t xml:space="preserve">price category </t>
  </si>
  <si>
    <t>electronics sum</t>
  </si>
  <si>
    <t>count &lt;$100</t>
  </si>
  <si>
    <t>day</t>
  </si>
  <si>
    <t xml:space="preserve">country 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</si>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</sst>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6" fillId="3" borderId="0" xfId="0" applyFont="1" applyFill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customschemas.google.com/relationships/workbookmetadata" Target="metadata" /><Relationship Id="rId10" Type="http://schemas.openxmlformats.org/officeDocument/2006/relationships/calcChain" Target="calcChain.xml" /><Relationship Id="rId9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4F5FC-1D5C-264A-9AAF-0D0FF353B96C}" name="Table1" displayName="Table1" ref="A1:J35" totalsRowShown="0" headerRowDxfId="11" dataDxfId="10">
  <autoFilter ref="A1:J35" xr:uid="{8164F5FC-1D5C-264A-9AAF-0D0FF353B96C}"/>
  <tableColumns count="10">
    <tableColumn id="1" xr3:uid="{4DB392E0-A556-DC40-9CB6-E179D53B0027}" name="Product ID" dataDxfId="9"/>
    <tableColumn id="2" xr3:uid="{539DA47C-2111-F64D-A539-A08ECBC8BB9B}" name="Product Name" dataDxfId="8"/>
    <tableColumn id="3" xr3:uid="{4ECCFF6A-B73C-AA41-91D7-2A40B686B9AC}" name="Brand Name" dataDxfId="7"/>
    <tableColumn id="4" xr3:uid="{4113AEA0-EC13-A345-8638-44D517A1DFB8}" name="Price ($)" dataDxfId="6"/>
    <tableColumn id="5" xr3:uid="{FB4DAFD4-BE10-3C46-A272-2EBBF952FC19}" name="Quantity" dataDxfId="5"/>
    <tableColumn id="6" xr3:uid="{065A3837-D6F3-8145-81C4-EC82090911DE}" name="Category" dataDxfId="4"/>
    <tableColumn id="7" xr3:uid="{5B77071D-D628-004A-B7A4-9D6A93D40B27}" name="price category " dataDxfId="3">
      <calculatedColumnFormula>IF(D2&gt;500,"High prize"," standard prize")</calculatedColumnFormula>
    </tableColumn>
    <tableColumn id="9" xr3:uid="{69883463-6A8C-594F-91B1-8A966664819D}" name="day" dataDxfId="2">
      <calculatedColumnFormula>LEFT(Table1[[#This Row],[Product ID]],2)</calculatedColumnFormula>
    </tableColumn>
    <tableColumn id="10" xr3:uid="{0F7CBA62-F6C8-2643-A37D-DBCE12B1F75A}" name="country " dataDxfId="1">
      <calculatedColumnFormula>RIGHT(Table1[[#This Row],[Product ID]],2)</calculatedColumnFormula>
    </tableColumn>
    <tableColumn id="11" xr3:uid="{BCECAB47-8C2F-554F-844E-EA68DBB50709}" name="month" dataDxfId="0">
      <calculatedColumnFormula>MID(Table1[[#This Row],[Product ID]],4,6)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B1" workbookViewId="0">
      <selection activeCell="D33" sqref="D33"/>
    </sheetView>
  </sheetViews>
  <sheetFormatPr defaultColWidth="12.67578125" defaultRowHeight="15" customHeight="1" x14ac:dyDescent="0.15"/>
  <cols>
    <col min="1" max="1" width="12.67578125" customWidth="1"/>
    <col min="2" max="2" width="7.55078125" customWidth="1"/>
    <col min="3" max="6" width="12.67578125" customWidth="1"/>
  </cols>
  <sheetData>
    <row r="1" spans="1:3" ht="15.75" customHeight="1" x14ac:dyDescent="0.15">
      <c r="A1" s="1" t="s">
        <v>0</v>
      </c>
    </row>
    <row r="2" spans="1:3" ht="15.75" customHeight="1" x14ac:dyDescent="0.15"/>
    <row r="3" spans="1:3" ht="15.75" customHeight="1" x14ac:dyDescent="0.15">
      <c r="B3" s="2" t="s">
        <v>1</v>
      </c>
    </row>
    <row r="4" spans="1:3" ht="15.75" customHeight="1" x14ac:dyDescent="0.15">
      <c r="B4" s="2"/>
      <c r="C4" s="3" t="s">
        <v>2</v>
      </c>
    </row>
    <row r="5" spans="1:3" ht="15.75" customHeight="1" x14ac:dyDescent="0.15">
      <c r="B5" s="2"/>
      <c r="C5" s="3" t="s">
        <v>3</v>
      </c>
    </row>
    <row r="6" spans="1:3" ht="15.75" customHeight="1" x14ac:dyDescent="0.15">
      <c r="B6" s="2"/>
      <c r="C6" s="3" t="s">
        <v>4</v>
      </c>
    </row>
    <row r="7" spans="1:3" ht="15.75" customHeight="1" x14ac:dyDescent="0.2">
      <c r="B7" s="4"/>
    </row>
    <row r="8" spans="1:3" ht="15.75" customHeight="1" x14ac:dyDescent="0.15">
      <c r="B8" s="2" t="s">
        <v>5</v>
      </c>
    </row>
    <row r="9" spans="1:3" ht="15.75" customHeight="1" x14ac:dyDescent="0.15">
      <c r="C9" s="3" t="s">
        <v>6</v>
      </c>
    </row>
    <row r="10" spans="1:3" ht="15.75" customHeight="1" x14ac:dyDescent="0.15">
      <c r="C10" s="3" t="s">
        <v>7</v>
      </c>
    </row>
    <row r="11" spans="1:3" ht="15.75" customHeight="1" x14ac:dyDescent="0.2">
      <c r="B11" s="4"/>
    </row>
    <row r="12" spans="1:3" ht="15.75" customHeight="1" x14ac:dyDescent="0.15">
      <c r="B12" s="2" t="s">
        <v>8</v>
      </c>
    </row>
    <row r="13" spans="1:3" ht="15.75" customHeight="1" x14ac:dyDescent="0.15">
      <c r="C13" s="3" t="s">
        <v>9</v>
      </c>
    </row>
    <row r="14" spans="1:3" ht="15.75" customHeight="1" x14ac:dyDescent="0.2">
      <c r="B14" s="4"/>
    </row>
    <row r="15" spans="1:3" ht="15.75" customHeight="1" x14ac:dyDescent="0.15">
      <c r="B15" s="2" t="s">
        <v>10</v>
      </c>
    </row>
    <row r="16" spans="1:3" ht="15.75" customHeight="1" x14ac:dyDescent="0.15">
      <c r="C16" s="3" t="s">
        <v>11</v>
      </c>
    </row>
    <row r="17" spans="2:3" ht="15.75" customHeight="1" x14ac:dyDescent="0.15">
      <c r="C17" s="3" t="s">
        <v>12</v>
      </c>
    </row>
    <row r="18" spans="2:3" ht="15.75" customHeight="1" x14ac:dyDescent="0.2">
      <c r="B18" s="4"/>
    </row>
    <row r="19" spans="2:3" ht="15.75" customHeight="1" x14ac:dyDescent="0.15">
      <c r="B19" s="2" t="s">
        <v>13</v>
      </c>
    </row>
    <row r="20" spans="2:3" ht="15.75" customHeight="1" x14ac:dyDescent="0.15">
      <c r="C20" s="3" t="s">
        <v>14</v>
      </c>
    </row>
    <row r="21" spans="2:3" ht="15.75" customHeight="1" x14ac:dyDescent="0.15">
      <c r="C21" s="3" t="s">
        <v>15</v>
      </c>
    </row>
    <row r="22" spans="2:3" ht="15.75" customHeight="1" x14ac:dyDescent="0.15">
      <c r="C22" s="3" t="s">
        <v>16</v>
      </c>
    </row>
    <row r="23" spans="2:3" ht="15.75" customHeight="1" x14ac:dyDescent="0.2">
      <c r="B23" s="4"/>
    </row>
    <row r="24" spans="2:3" ht="15.75" customHeight="1" x14ac:dyDescent="0.15"/>
    <row r="25" spans="2:3" ht="15.75" customHeight="1" x14ac:dyDescent="0.15"/>
    <row r="26" spans="2:3" ht="15.75" customHeight="1" x14ac:dyDescent="0.15"/>
    <row r="27" spans="2:3" ht="15.75" customHeight="1" x14ac:dyDescent="0.15"/>
    <row r="28" spans="2:3" ht="15.75" customHeight="1" x14ac:dyDescent="0.15"/>
    <row r="29" spans="2:3" ht="15.75" customHeight="1" x14ac:dyDescent="0.15"/>
    <row r="30" spans="2:3" ht="15.75" customHeight="1" x14ac:dyDescent="0.15"/>
    <row r="31" spans="2:3" ht="15.75" customHeight="1" x14ac:dyDescent="0.15"/>
    <row r="32" spans="2: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B29" workbookViewId="0">
      <selection activeCell="J1" sqref="J1"/>
    </sheetView>
  </sheetViews>
  <sheetFormatPr defaultColWidth="12.67578125" defaultRowHeight="15" customHeight="1" x14ac:dyDescent="0.15"/>
  <cols>
    <col min="1" max="1" width="13.34765625" customWidth="1"/>
    <col min="2" max="2" width="16.5859375" customWidth="1"/>
    <col min="3" max="3" width="14.83203125" customWidth="1"/>
    <col min="4" max="6" width="12.67578125" customWidth="1"/>
    <col min="7" max="7" width="17.125" bestFit="1" customWidth="1"/>
  </cols>
  <sheetData>
    <row r="1" spans="1:10" ht="15.75" customHeight="1" x14ac:dyDescent="0.1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114</v>
      </c>
      <c r="H1" s="5" t="s">
        <v>117</v>
      </c>
      <c r="I1" s="5" t="s">
        <v>118</v>
      </c>
      <c r="J1" s="5" t="s">
        <v>119</v>
      </c>
    </row>
    <row r="2" spans="1:10" ht="15.75" customHeight="1" x14ac:dyDescent="0.1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 t="str">
        <f t="shared" ref="G2:G35" si="0">IF(D2&gt;500,"High prize"," standard prize")</f>
        <v>High prize</v>
      </c>
      <c r="H2" s="11" t="str">
        <f>LEFT(Table1[[#This Row],[Product ID]],2)</f>
        <v>28</v>
      </c>
      <c r="I2" s="11" t="str">
        <f>RIGHT(Table1[[#This Row],[Product ID]],2)</f>
        <v>US</v>
      </c>
      <c r="J2" s="11" t="str">
        <f>MID(Table1[[#This Row],[Product ID]],4,6)</f>
        <v>JAN-US</v>
      </c>
    </row>
    <row r="3" spans="1:10" ht="15.75" customHeight="1" x14ac:dyDescent="0.1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 t="str">
        <f t="shared" si="0"/>
        <v xml:space="preserve"> standard prize</v>
      </c>
      <c r="H3" s="11" t="str">
        <f>LEFT(Table1[[#This Row],[Product ID]],2)</f>
        <v>15</v>
      </c>
      <c r="I3" s="11" t="str">
        <f>RIGHT(Table1[[#This Row],[Product ID]],2)</f>
        <v>US</v>
      </c>
      <c r="J3" s="11" t="str">
        <f>MID(Table1[[#This Row],[Product ID]],4,6)</f>
        <v>FEB-US</v>
      </c>
    </row>
    <row r="4" spans="1:10" ht="15.75" customHeight="1" x14ac:dyDescent="0.1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 t="str">
        <f t="shared" si="0"/>
        <v xml:space="preserve"> standard prize</v>
      </c>
      <c r="H4" s="11" t="str">
        <f>LEFT(Table1[[#This Row],[Product ID]],2)</f>
        <v>03</v>
      </c>
      <c r="I4" s="11" t="str">
        <f>RIGHT(Table1[[#This Row],[Product ID]],2)</f>
        <v>US</v>
      </c>
      <c r="J4" s="11" t="str">
        <f>MID(Table1[[#This Row],[Product ID]],4,6)</f>
        <v>MAR-US</v>
      </c>
    </row>
    <row r="5" spans="1:10" ht="15.75" customHeight="1" x14ac:dyDescent="0.1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 t="str">
        <f t="shared" si="0"/>
        <v>High prize</v>
      </c>
      <c r="H5" s="11" t="str">
        <f>LEFT(Table1[[#This Row],[Product ID]],2)</f>
        <v>11</v>
      </c>
      <c r="I5" s="11" t="str">
        <f>RIGHT(Table1[[#This Row],[Product ID]],2)</f>
        <v>US</v>
      </c>
      <c r="J5" s="11" t="str">
        <f>MID(Table1[[#This Row],[Product ID]],4,6)</f>
        <v>APR-US</v>
      </c>
    </row>
    <row r="6" spans="1:10" ht="15.75" customHeight="1" x14ac:dyDescent="0.1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 t="str">
        <f t="shared" si="0"/>
        <v xml:space="preserve"> standard prize</v>
      </c>
      <c r="H6" s="11" t="str">
        <f>LEFT(Table1[[#This Row],[Product ID]],2)</f>
        <v>22</v>
      </c>
      <c r="I6" s="11" t="str">
        <f>RIGHT(Table1[[#This Row],[Product ID]],2)</f>
        <v>US</v>
      </c>
      <c r="J6" s="11" t="str">
        <f>MID(Table1[[#This Row],[Product ID]],4,6)</f>
        <v>MAY-US</v>
      </c>
    </row>
    <row r="7" spans="1:10" ht="15.75" customHeight="1" x14ac:dyDescent="0.1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 t="str">
        <f t="shared" si="0"/>
        <v xml:space="preserve"> standard prize</v>
      </c>
      <c r="H7" s="11" t="str">
        <f>LEFT(Table1[[#This Row],[Product ID]],2)</f>
        <v>07</v>
      </c>
      <c r="I7" s="11" t="str">
        <f>RIGHT(Table1[[#This Row],[Product ID]],2)</f>
        <v>UK</v>
      </c>
      <c r="J7" s="11" t="str">
        <f>MID(Table1[[#This Row],[Product ID]],4,6)</f>
        <v>JUN-UK</v>
      </c>
    </row>
    <row r="8" spans="1:10" ht="15.75" customHeight="1" x14ac:dyDescent="0.1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 t="str">
        <f t="shared" si="0"/>
        <v xml:space="preserve"> standard prize</v>
      </c>
      <c r="H8" s="11" t="str">
        <f>LEFT(Table1[[#This Row],[Product ID]],2)</f>
        <v>19</v>
      </c>
      <c r="I8" s="11" t="str">
        <f>RIGHT(Table1[[#This Row],[Product ID]],2)</f>
        <v>UK</v>
      </c>
      <c r="J8" s="11" t="str">
        <f>MID(Table1[[#This Row],[Product ID]],4,6)</f>
        <v>JUL-UK</v>
      </c>
    </row>
    <row r="9" spans="1:10" ht="15.75" customHeight="1" x14ac:dyDescent="0.1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 t="str">
        <f t="shared" si="0"/>
        <v xml:space="preserve"> standard prize</v>
      </c>
      <c r="H9" s="11" t="str">
        <f>LEFT(Table1[[#This Row],[Product ID]],2)</f>
        <v>23</v>
      </c>
      <c r="I9" s="11" t="str">
        <f>RIGHT(Table1[[#This Row],[Product ID]],2)</f>
        <v>UK</v>
      </c>
      <c r="J9" s="11" t="str">
        <f>MID(Table1[[#This Row],[Product ID]],4,6)</f>
        <v>AUG-UK</v>
      </c>
    </row>
    <row r="10" spans="1:10" ht="15.75" customHeight="1" x14ac:dyDescent="0.1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 t="str">
        <f t="shared" si="0"/>
        <v xml:space="preserve"> standard prize</v>
      </c>
      <c r="H10" s="11" t="str">
        <f>LEFT(Table1[[#This Row],[Product ID]],2)</f>
        <v>05</v>
      </c>
      <c r="I10" s="11" t="str">
        <f>RIGHT(Table1[[#This Row],[Product ID]],2)</f>
        <v>UK</v>
      </c>
      <c r="J10" s="11" t="str">
        <f>MID(Table1[[#This Row],[Product ID]],4,6)</f>
        <v>SEP-UK</v>
      </c>
    </row>
    <row r="11" spans="1:10" ht="15.75" customHeight="1" x14ac:dyDescent="0.1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 t="str">
        <f t="shared" si="0"/>
        <v xml:space="preserve"> standard prize</v>
      </c>
      <c r="H11" s="11" t="str">
        <f>LEFT(Table1[[#This Row],[Product ID]],2)</f>
        <v>14</v>
      </c>
      <c r="I11" s="11" t="str">
        <f>RIGHT(Table1[[#This Row],[Product ID]],2)</f>
        <v>UK</v>
      </c>
      <c r="J11" s="11" t="str">
        <f>MID(Table1[[#This Row],[Product ID]],4,6)</f>
        <v>OCT-UK</v>
      </c>
    </row>
    <row r="12" spans="1:10" ht="15.75" customHeight="1" x14ac:dyDescent="0.1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 t="str">
        <f t="shared" si="0"/>
        <v>High prize</v>
      </c>
      <c r="H12" s="11" t="str">
        <f>LEFT(Table1[[#This Row],[Product ID]],2)</f>
        <v>17</v>
      </c>
      <c r="I12" s="11" t="str">
        <f>RIGHT(Table1[[#This Row],[Product ID]],2)</f>
        <v>IN</v>
      </c>
      <c r="J12" s="11" t="str">
        <f>MID(Table1[[#This Row],[Product ID]],4,6)</f>
        <v>JUN-IN</v>
      </c>
    </row>
    <row r="13" spans="1:10" ht="15.75" customHeight="1" x14ac:dyDescent="0.1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 t="str">
        <f t="shared" si="0"/>
        <v xml:space="preserve"> standard prize</v>
      </c>
      <c r="H13" s="11" t="str">
        <f>LEFT(Table1[[#This Row],[Product ID]],2)</f>
        <v>25</v>
      </c>
      <c r="I13" s="11" t="str">
        <f>RIGHT(Table1[[#This Row],[Product ID]],2)</f>
        <v>AU</v>
      </c>
      <c r="J13" s="11" t="str">
        <f>MID(Table1[[#This Row],[Product ID]],4,6)</f>
        <v>NOV-AU</v>
      </c>
    </row>
    <row r="14" spans="1:10" ht="15.75" customHeight="1" x14ac:dyDescent="0.1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 t="str">
        <f t="shared" si="0"/>
        <v xml:space="preserve"> standard prize</v>
      </c>
      <c r="H14" s="11" t="str">
        <f>LEFT(Table1[[#This Row],[Product ID]],2)</f>
        <v>08</v>
      </c>
      <c r="I14" s="11" t="str">
        <f>RIGHT(Table1[[#This Row],[Product ID]],2)</f>
        <v>DE</v>
      </c>
      <c r="J14" s="11" t="str">
        <f>MID(Table1[[#This Row],[Product ID]],4,6)</f>
        <v>DEC-DE</v>
      </c>
    </row>
    <row r="15" spans="1:10" ht="15.75" customHeight="1" x14ac:dyDescent="0.1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 t="str">
        <f t="shared" si="0"/>
        <v xml:space="preserve"> standard prize</v>
      </c>
      <c r="H15" s="11" t="str">
        <f>LEFT(Table1[[#This Row],[Product ID]],2)</f>
        <v>18</v>
      </c>
      <c r="I15" s="11" t="str">
        <f>RIGHT(Table1[[#This Row],[Product ID]],2)</f>
        <v>CA</v>
      </c>
      <c r="J15" s="11" t="str">
        <f>MID(Table1[[#This Row],[Product ID]],4,6)</f>
        <v>FEB-CA</v>
      </c>
    </row>
    <row r="16" spans="1:10" ht="15.75" customHeight="1" x14ac:dyDescent="0.1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 t="str">
        <f t="shared" si="0"/>
        <v xml:space="preserve"> standard prize</v>
      </c>
      <c r="H16" s="11" t="str">
        <f>LEFT(Table1[[#This Row],[Product ID]],2)</f>
        <v>16</v>
      </c>
      <c r="I16" s="11" t="str">
        <f>RIGHT(Table1[[#This Row],[Product ID]],2)</f>
        <v>ES</v>
      </c>
      <c r="J16" s="11" t="str">
        <f>MID(Table1[[#This Row],[Product ID]],4,6)</f>
        <v>APR-ES</v>
      </c>
    </row>
    <row r="17" spans="1:10" ht="15.75" customHeight="1" x14ac:dyDescent="0.1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 t="str">
        <f t="shared" si="0"/>
        <v xml:space="preserve"> standard prize</v>
      </c>
      <c r="H17" s="11" t="str">
        <f>LEFT(Table1[[#This Row],[Product ID]],2)</f>
        <v>21</v>
      </c>
      <c r="I17" s="11" t="str">
        <f>RIGHT(Table1[[#This Row],[Product ID]],2)</f>
        <v>CA</v>
      </c>
      <c r="J17" s="11" t="str">
        <f>MID(Table1[[#This Row],[Product ID]],4,6)</f>
        <v>AUG-CA</v>
      </c>
    </row>
    <row r="18" spans="1:10" ht="15.75" customHeight="1" x14ac:dyDescent="0.1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 t="str">
        <f t="shared" si="0"/>
        <v xml:space="preserve"> standard prize</v>
      </c>
      <c r="H18" s="11" t="str">
        <f>LEFT(Table1[[#This Row],[Product ID]],2)</f>
        <v>20</v>
      </c>
      <c r="I18" s="11" t="str">
        <f>RIGHT(Table1[[#This Row],[Product ID]],2)</f>
        <v>CN</v>
      </c>
      <c r="J18" s="11" t="str">
        <f>MID(Table1[[#This Row],[Product ID]],4,6)</f>
        <v>AUG-CN</v>
      </c>
    </row>
    <row r="19" spans="1:10" ht="15.75" customHeight="1" x14ac:dyDescent="0.1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 t="str">
        <f t="shared" si="0"/>
        <v>High prize</v>
      </c>
      <c r="H19" s="11" t="str">
        <f>LEFT(Table1[[#This Row],[Product ID]],2)</f>
        <v>27</v>
      </c>
      <c r="I19" s="11" t="str">
        <f>RIGHT(Table1[[#This Row],[Product ID]],2)</f>
        <v>IT</v>
      </c>
      <c r="J19" s="11" t="str">
        <f>MID(Table1[[#This Row],[Product ID]],4,6)</f>
        <v>JAN-IT</v>
      </c>
    </row>
    <row r="20" spans="1:10" ht="15.75" customHeight="1" x14ac:dyDescent="0.1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 t="str">
        <f t="shared" si="0"/>
        <v xml:space="preserve"> standard prize</v>
      </c>
      <c r="H20" s="11" t="str">
        <f>LEFT(Table1[[#This Row],[Product ID]],2)</f>
        <v>01</v>
      </c>
      <c r="I20" s="11" t="str">
        <f>RIGHT(Table1[[#This Row],[Product ID]],2)</f>
        <v>UK</v>
      </c>
      <c r="J20" s="11" t="str">
        <f>MID(Table1[[#This Row],[Product ID]],4,6)</f>
        <v>MAR-UK</v>
      </c>
    </row>
    <row r="21" spans="1:10" ht="15.75" customHeight="1" x14ac:dyDescent="0.1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 t="str">
        <f t="shared" si="0"/>
        <v xml:space="preserve"> standard prize</v>
      </c>
      <c r="H21" s="11" t="str">
        <f>LEFT(Table1[[#This Row],[Product ID]],2)</f>
        <v>14</v>
      </c>
      <c r="I21" s="11" t="str">
        <f>RIGHT(Table1[[#This Row],[Product ID]],2)</f>
        <v>US</v>
      </c>
      <c r="J21" s="11" t="str">
        <f>MID(Table1[[#This Row],[Product ID]],4,6)</f>
        <v>AUG-US</v>
      </c>
    </row>
    <row r="22" spans="1:10" ht="15.75" customHeight="1" x14ac:dyDescent="0.1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 t="str">
        <f t="shared" si="0"/>
        <v>High prize</v>
      </c>
      <c r="H22" s="11" t="str">
        <f>LEFT(Table1[[#This Row],[Product ID]],2)</f>
        <v>14</v>
      </c>
      <c r="I22" s="11" t="str">
        <f>RIGHT(Table1[[#This Row],[Product ID]],2)</f>
        <v>RU</v>
      </c>
      <c r="J22" s="11" t="str">
        <f>MID(Table1[[#This Row],[Product ID]],4,6)</f>
        <v>MAY-RU</v>
      </c>
    </row>
    <row r="23" spans="1:10" ht="15.75" customHeight="1" x14ac:dyDescent="0.1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 t="str">
        <f t="shared" si="0"/>
        <v xml:space="preserve"> standard prize</v>
      </c>
      <c r="H23" s="11" t="str">
        <f>LEFT(Table1[[#This Row],[Product ID]],2)</f>
        <v>09</v>
      </c>
      <c r="I23" s="11" t="str">
        <f>RIGHT(Table1[[#This Row],[Product ID]],2)</f>
        <v>CA</v>
      </c>
      <c r="J23" s="11" t="str">
        <f>MID(Table1[[#This Row],[Product ID]],4,6)</f>
        <v>JAN-CA</v>
      </c>
    </row>
    <row r="24" spans="1:10" ht="15.75" customHeight="1" x14ac:dyDescent="0.1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 t="str">
        <f t="shared" si="0"/>
        <v xml:space="preserve"> standard prize</v>
      </c>
      <c r="H24" s="11" t="str">
        <f>LEFT(Table1[[#This Row],[Product ID]],2)</f>
        <v>19</v>
      </c>
      <c r="I24" s="11" t="str">
        <f>RIGHT(Table1[[#This Row],[Product ID]],2)</f>
        <v>BR</v>
      </c>
      <c r="J24" s="11" t="str">
        <f>MID(Table1[[#This Row],[Product ID]],4,6)</f>
        <v>JUL-BR</v>
      </c>
    </row>
    <row r="25" spans="1:10" ht="15.75" customHeight="1" x14ac:dyDescent="0.1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 t="str">
        <f t="shared" si="0"/>
        <v xml:space="preserve"> standard prize</v>
      </c>
      <c r="H25" s="11" t="str">
        <f>LEFT(Table1[[#This Row],[Product ID]],2)</f>
        <v>21</v>
      </c>
      <c r="I25" s="11" t="str">
        <f>RIGHT(Table1[[#This Row],[Product ID]],2)</f>
        <v>CA</v>
      </c>
      <c r="J25" s="11" t="str">
        <f>MID(Table1[[#This Row],[Product ID]],4,6)</f>
        <v>AUG-CA</v>
      </c>
    </row>
    <row r="26" spans="1:10" ht="15.75" customHeight="1" x14ac:dyDescent="0.1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 t="str">
        <f t="shared" si="0"/>
        <v>High prize</v>
      </c>
      <c r="H26" s="11" t="str">
        <f>LEFT(Table1[[#This Row],[Product ID]],2)</f>
        <v>29</v>
      </c>
      <c r="I26" s="11" t="str">
        <f>RIGHT(Table1[[#This Row],[Product ID]],2)</f>
        <v>CA</v>
      </c>
      <c r="J26" s="11" t="str">
        <f>MID(Table1[[#This Row],[Product ID]],4,6)</f>
        <v>SEP-CA</v>
      </c>
    </row>
    <row r="27" spans="1:10" ht="15.75" customHeight="1" x14ac:dyDescent="0.1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 t="str">
        <f t="shared" si="0"/>
        <v xml:space="preserve"> standard prize</v>
      </c>
      <c r="H27" s="11" t="str">
        <f>LEFT(Table1[[#This Row],[Product ID]],2)</f>
        <v>03</v>
      </c>
      <c r="I27" s="11" t="str">
        <f>RIGHT(Table1[[#This Row],[Product ID]],2)</f>
        <v>CA</v>
      </c>
      <c r="J27" s="11" t="str">
        <f>MID(Table1[[#This Row],[Product ID]],4,6)</f>
        <v>JUN-CA</v>
      </c>
    </row>
    <row r="28" spans="1:10" ht="15.75" customHeight="1" x14ac:dyDescent="0.1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 t="str">
        <f t="shared" si="0"/>
        <v xml:space="preserve"> standard prize</v>
      </c>
      <c r="H28" s="11" t="str">
        <f>LEFT(Table1[[#This Row],[Product ID]],2)</f>
        <v>11</v>
      </c>
      <c r="I28" s="11" t="str">
        <f>RIGHT(Table1[[#This Row],[Product ID]],2)</f>
        <v>CA</v>
      </c>
      <c r="J28" s="11" t="str">
        <f>MID(Table1[[#This Row],[Product ID]],4,6)</f>
        <v>JUL-CA</v>
      </c>
    </row>
    <row r="29" spans="1:10" ht="15.75" customHeight="1" x14ac:dyDescent="0.1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 t="str">
        <f t="shared" si="0"/>
        <v xml:space="preserve"> standard prize</v>
      </c>
      <c r="H29" s="11" t="str">
        <f>LEFT(Table1[[#This Row],[Product ID]],2)</f>
        <v>16</v>
      </c>
      <c r="I29" s="11" t="str">
        <f>RIGHT(Table1[[#This Row],[Product ID]],2)</f>
        <v>ES</v>
      </c>
      <c r="J29" s="11" t="str">
        <f>MID(Table1[[#This Row],[Product ID]],4,6)</f>
        <v>APR-ES</v>
      </c>
    </row>
    <row r="30" spans="1:10" ht="15.75" customHeight="1" x14ac:dyDescent="0.1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 t="str">
        <f t="shared" si="0"/>
        <v xml:space="preserve"> standard prize</v>
      </c>
      <c r="H30" s="11" t="str">
        <f>LEFT(Table1[[#This Row],[Product ID]],2)</f>
        <v>07</v>
      </c>
      <c r="I30" s="11" t="str">
        <f>RIGHT(Table1[[#This Row],[Product ID]],2)</f>
        <v>CA</v>
      </c>
      <c r="J30" s="11" t="str">
        <f>MID(Table1[[#This Row],[Product ID]],4,6)</f>
        <v>MAR-CA</v>
      </c>
    </row>
    <row r="31" spans="1:10" ht="15.75" customHeight="1" x14ac:dyDescent="0.1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 t="str">
        <f t="shared" si="0"/>
        <v xml:space="preserve"> standard prize</v>
      </c>
      <c r="H31" s="11" t="str">
        <f>LEFT(Table1[[#This Row],[Product ID]],2)</f>
        <v>13</v>
      </c>
      <c r="I31" s="11" t="str">
        <f>RIGHT(Table1[[#This Row],[Product ID]],2)</f>
        <v>CA</v>
      </c>
      <c r="J31" s="11" t="str">
        <f>MID(Table1[[#This Row],[Product ID]],4,6)</f>
        <v>APR-CA</v>
      </c>
    </row>
    <row r="32" spans="1:10" ht="15.75" customHeight="1" x14ac:dyDescent="0.1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 t="str">
        <f t="shared" si="0"/>
        <v xml:space="preserve"> standard prize</v>
      </c>
      <c r="H32" s="11" t="str">
        <f>LEFT(Table1[[#This Row],[Product ID]],2)</f>
        <v>24</v>
      </c>
      <c r="I32" s="11" t="str">
        <f>RIGHT(Table1[[#This Row],[Product ID]],2)</f>
        <v>CA</v>
      </c>
      <c r="J32" s="11" t="str">
        <f>MID(Table1[[#This Row],[Product ID]],4,6)</f>
        <v>MAY-CA</v>
      </c>
    </row>
    <row r="33" spans="1:10" ht="15.75" customHeight="1" x14ac:dyDescent="0.1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 t="str">
        <f t="shared" si="0"/>
        <v xml:space="preserve"> standard prize</v>
      </c>
      <c r="H33" s="11" t="str">
        <f>LEFT(Table1[[#This Row],[Product ID]],2)</f>
        <v>02</v>
      </c>
      <c r="I33" s="11" t="str">
        <f>RIGHT(Table1[[#This Row],[Product ID]],2)</f>
        <v>CA</v>
      </c>
      <c r="J33" s="11" t="str">
        <f>MID(Table1[[#This Row],[Product ID]],4,6)</f>
        <v>DEC-CA</v>
      </c>
    </row>
    <row r="34" spans="1:10" ht="15.75" customHeight="1" x14ac:dyDescent="0.1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 t="str">
        <f t="shared" si="0"/>
        <v>High prize</v>
      </c>
      <c r="H34" s="11" t="str">
        <f>LEFT(Table1[[#This Row],[Product ID]],2)</f>
        <v>17</v>
      </c>
      <c r="I34" s="11" t="str">
        <f>RIGHT(Table1[[#This Row],[Product ID]],2)</f>
        <v>IN</v>
      </c>
      <c r="J34" s="11" t="str">
        <f>MID(Table1[[#This Row],[Product ID]],4,6)</f>
        <v>JUN-IN</v>
      </c>
    </row>
    <row r="35" spans="1:10" ht="15.75" customHeight="1" x14ac:dyDescent="0.1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 t="str">
        <f t="shared" si="0"/>
        <v xml:space="preserve"> standard prize</v>
      </c>
      <c r="H35" s="11" t="str">
        <f>LEFT(Table1[[#This Row],[Product ID]],2)</f>
        <v>09</v>
      </c>
      <c r="I35" s="11" t="str">
        <f>RIGHT(Table1[[#This Row],[Product ID]],2)</f>
        <v>FR</v>
      </c>
      <c r="J35" s="11" t="str">
        <f>MID(Table1[[#This Row],[Product ID]],4,6)</f>
        <v>JUL-FR</v>
      </c>
    </row>
    <row r="36" spans="1:10" ht="15.75" customHeight="1" x14ac:dyDescent="0.15">
      <c r="C36" t="s">
        <v>110</v>
      </c>
      <c r="D36">
        <f>SUM(D2:D35)</f>
        <v>10100</v>
      </c>
      <c r="E36">
        <f>SUM(E2:E35)</f>
        <v>900</v>
      </c>
    </row>
    <row r="37" spans="1:10" ht="15.75" customHeight="1" x14ac:dyDescent="0.15"/>
    <row r="38" spans="1:10" ht="15.75" customHeight="1" x14ac:dyDescent="0.15">
      <c r="C38" t="s">
        <v>111</v>
      </c>
      <c r="D38">
        <f>AVERAGE(D2:D36)</f>
        <v>577.14285714285711</v>
      </c>
    </row>
    <row r="39" spans="1:10" ht="15.75" customHeight="1" x14ac:dyDescent="0.15"/>
    <row r="40" spans="1:10" ht="15.75" customHeight="1" x14ac:dyDescent="0.15">
      <c r="C40" t="s">
        <v>112</v>
      </c>
      <c r="D40">
        <f>MIN(D2:D35)</f>
        <v>30</v>
      </c>
    </row>
    <row r="41" spans="1:10" ht="15.75" customHeight="1" x14ac:dyDescent="0.15"/>
    <row r="42" spans="1:10" ht="15.75" customHeight="1" x14ac:dyDescent="0.15">
      <c r="C42" t="s">
        <v>113</v>
      </c>
      <c r="D42">
        <f>MAX(D2:D35)</f>
        <v>1000</v>
      </c>
    </row>
    <row r="43" spans="1:10" ht="15.75" customHeight="1" x14ac:dyDescent="0.15"/>
    <row r="44" spans="1:10" ht="15.75" customHeight="1" x14ac:dyDescent="0.15">
      <c r="C44" t="s">
        <v>115</v>
      </c>
      <c r="D44">
        <f>SUMIF(Table1[Category], "electronics",Table1[Price ($)])</f>
        <v>8050</v>
      </c>
    </row>
    <row r="45" spans="1:10" ht="15.75" customHeight="1" x14ac:dyDescent="0.15"/>
    <row r="46" spans="1:10" ht="15.75" customHeight="1" x14ac:dyDescent="0.15">
      <c r="C46" t="s">
        <v>116</v>
      </c>
      <c r="D46">
        <f>COUNTIF(Table1[Price ($)], "&lt;100")</f>
        <v>11</v>
      </c>
    </row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Ancy Xavier</dc:creator>
  <dcterms:created xsi:type="dcterms:W3CDTF">2026-10-15T12:22:09Z</dcterms:created>
</cp:coreProperties>
</file>